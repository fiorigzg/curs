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g" sheetId="1" r:id="rId5"/>
    <sheet state="visible" name="Trading" sheetId="2" r:id="rId6"/>
    <sheet state="visible" name="Currencies" sheetId="3" r:id="rId7"/>
    <sheet state="visible" name="Notes" sheetId="4" r:id="rId8"/>
    <sheet state="visible" name="Avg old" sheetId="5" r:id="rId9"/>
  </sheets>
  <definedNames/>
  <calcPr/>
</workbook>
</file>

<file path=xl/sharedStrings.xml><?xml version="1.0" encoding="utf-8"?>
<sst xmlns="http://schemas.openxmlformats.org/spreadsheetml/2006/main" count="121" uniqueCount="67">
  <si>
    <t>Currencies</t>
  </si>
  <si>
    <t>Buy</t>
  </si>
  <si>
    <t>Sell</t>
  </si>
  <si>
    <t>C1</t>
  </si>
  <si>
    <t>C2</t>
  </si>
  <si>
    <t>Amount C1</t>
  </si>
  <si>
    <t>Price C2</t>
  </si>
  <si>
    <t>Amount C2</t>
  </si>
  <si>
    <t>Plan revenue</t>
  </si>
  <si>
    <t>Avg price C1</t>
  </si>
  <si>
    <t>Invested C1</t>
  </si>
  <si>
    <t>In deal C2</t>
  </si>
  <si>
    <t>In deal C1</t>
  </si>
  <si>
    <t>Fact revenue</t>
  </si>
  <si>
    <t>USDT</t>
  </si>
  <si>
    <t>ETH</t>
  </si>
  <si>
    <t>done</t>
  </si>
  <si>
    <t>plan</t>
  </si>
  <si>
    <t>TON</t>
  </si>
  <si>
    <t>Date</t>
  </si>
  <si>
    <t>From</t>
  </si>
  <si>
    <t>To</t>
  </si>
  <si>
    <t>Amount from</t>
  </si>
  <si>
    <t>Leverage</t>
  </si>
  <si>
    <t>Amount to</t>
  </si>
  <si>
    <t>Price</t>
  </si>
  <si>
    <t>Comment</t>
  </si>
  <si>
    <t>Real price</t>
  </si>
  <si>
    <t>USD now from</t>
  </si>
  <si>
    <t>USD now to</t>
  </si>
  <si>
    <t>Now/close price</t>
  </si>
  <si>
    <t>Earned from</t>
  </si>
  <si>
    <t>Earned USD</t>
  </si>
  <si>
    <t>Status</t>
  </si>
  <si>
    <t>Liquidated</t>
  </si>
  <si>
    <t>Opened</t>
  </si>
  <si>
    <t>Cur</t>
  </si>
  <si>
    <t>My price</t>
  </si>
  <si>
    <t>Now price</t>
  </si>
  <si>
    <t>Watch for:</t>
  </si>
  <si>
    <t>Date first buy</t>
  </si>
  <si>
    <t>Pos 0 price</t>
  </si>
  <si>
    <t>Pos 0 amount</t>
  </si>
  <si>
    <t>Pos 1 price</t>
  </si>
  <si>
    <t>Pos 1 percent</t>
  </si>
  <si>
    <t>Pos 1 amount</t>
  </si>
  <si>
    <t>Pos 1 max</t>
  </si>
  <si>
    <t>Pos 1 max full</t>
  </si>
  <si>
    <t>Pos 2 price</t>
  </si>
  <si>
    <t>Pos 2 percent</t>
  </si>
  <si>
    <t>Pos 2 amount</t>
  </si>
  <si>
    <t>Pos 2 max</t>
  </si>
  <si>
    <t>Pos 2 max full</t>
  </si>
  <si>
    <t>Pos 3 price</t>
  </si>
  <si>
    <t>Pos 3 percent</t>
  </si>
  <si>
    <t>Pos 3 amount</t>
  </si>
  <si>
    <t>Pos 3 max</t>
  </si>
  <si>
    <t>Pos 3 max full</t>
  </si>
  <si>
    <t>NELZA DALSHE</t>
  </si>
  <si>
    <t>Buyed from</t>
  </si>
  <si>
    <t>Buyed to</t>
  </si>
  <si>
    <t>Average price</t>
  </si>
  <si>
    <t>Planned sell 1/4</t>
  </si>
  <si>
    <t>Planned sell 2/4</t>
  </si>
  <si>
    <t>Planned sell 3/4</t>
  </si>
  <si>
    <t>Planned sell 4/4</t>
  </si>
  <si>
    <t>Planned earn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</si>
</sst>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4A86E8"/>
      <name val="Arial"/>
      <scheme val="minor"/>
    </font>
    <font>
      <b/>
      <color theme="1"/>
      <name val="Arial"/>
    </font>
    <font>
      <b/>
      <color rgb="FF4A86E8"/>
      <name val="Arial"/>
    </font>
    <font>
      <color theme="1"/>
      <name val="Arial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6" max="6" width="10.25"/>
    <col customWidth="1" min="10" max="10" width="10.25"/>
  </cols>
  <sheetData>
    <row r="1">
      <c r="A1" s="1" t="s">
        <v>0</v>
      </c>
      <c r="C1" s="1" t="s">
        <v>1</v>
      </c>
      <c r="F1" s="2"/>
      <c r="G1" s="1" t="s">
        <v>2</v>
      </c>
      <c r="J1" s="2"/>
      <c r="K1" s="3"/>
      <c r="L1" s="3"/>
      <c r="M1" s="3"/>
      <c r="N1" s="1"/>
      <c r="O1" s="1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"/>
      <c r="G2" s="1" t="s">
        <v>7</v>
      </c>
      <c r="H2" s="1" t="s">
        <v>6</v>
      </c>
      <c r="I2" s="1" t="s">
        <v>5</v>
      </c>
      <c r="J2" s="2"/>
      <c r="K2" s="1" t="s">
        <v>8</v>
      </c>
      <c r="L2" s="1" t="s">
        <v>9</v>
      </c>
      <c r="M2" s="4" t="s">
        <v>10</v>
      </c>
      <c r="N2" s="4" t="s">
        <v>6</v>
      </c>
      <c r="O2" s="4" t="s">
        <v>11</v>
      </c>
      <c r="P2" s="4" t="s">
        <v>12</v>
      </c>
      <c r="Q2" s="4" t="s">
        <v>13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5" t="s">
        <v>14</v>
      </c>
      <c r="B3" s="5" t="s">
        <v>15</v>
      </c>
      <c r="C3" s="5">
        <v>235.0</v>
      </c>
      <c r="D3" s="5">
        <v>2046.54</v>
      </c>
      <c r="E3" s="5">
        <f t="shared" ref="E3:E5" si="1">ROUND(C3/D3,8)</f>
        <v>0.11482795</v>
      </c>
      <c r="F3" s="5" t="s">
        <v>16</v>
      </c>
      <c r="G3" s="5">
        <v>0.13892</v>
      </c>
      <c r="H3" s="5">
        <v>3365.56</v>
      </c>
      <c r="I3" s="5">
        <f t="shared" ref="I3:I6" si="2">G3*H3</f>
        <v>467.5435952</v>
      </c>
      <c r="J3" s="5" t="s">
        <v>16</v>
      </c>
      <c r="K3" s="3">
        <f>-SUM(C3:C6)+SUM(I3:I6)</f>
        <v>1200.177856</v>
      </c>
      <c r="L3" s="3">
        <f>SUMIF(F3:F6,"done",C3:C6)/SUMIF(F3:F6,"done",E3:E6)</f>
        <v>1688.192468</v>
      </c>
      <c r="M3" s="3">
        <f>SUMIF(F3:F6, "done", C3:C6)</f>
        <v>940</v>
      </c>
      <c r="N3" s="3">
        <f>ROUND(SUMIF(Currencies!A:A,B3,Currencies!D:D)/SUMIF(Currencies!A:A,A3,Currencies!D:D),8)</f>
        <v>2038.56</v>
      </c>
      <c r="O3" s="3">
        <f>-SUMIF(J3:J6,"done",G3:G6)+SUMIF(F3:F6,"done",E3:E6)</f>
        <v>0.14074855</v>
      </c>
      <c r="P3" s="3">
        <f>O3*N3</f>
        <v>286.9243641</v>
      </c>
      <c r="Q3" s="3">
        <f>-SUMIF(F3:F6,"done",C3:C6)+SUMIF(J3:J6,"done",I3:I6)+P3</f>
        <v>910.30222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3"/>
      <c r="B4" s="3"/>
      <c r="C4" s="5">
        <v>235.0</v>
      </c>
      <c r="D4" s="5">
        <v>1796.09</v>
      </c>
      <c r="E4" s="5">
        <f t="shared" si="1"/>
        <v>0.13083977</v>
      </c>
      <c r="F4" s="5" t="s">
        <v>16</v>
      </c>
      <c r="G4" s="5">
        <v>0.13753</v>
      </c>
      <c r="H4" s="5">
        <v>3872.61</v>
      </c>
      <c r="I4" s="5">
        <f t="shared" si="2"/>
        <v>532.6000533</v>
      </c>
      <c r="J4" s="5" t="s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3"/>
      <c r="B5" s="3"/>
      <c r="C5" s="5">
        <v>470.0</v>
      </c>
      <c r="D5" s="5">
        <v>1510.57</v>
      </c>
      <c r="E5" s="5">
        <f t="shared" si="1"/>
        <v>0.31114083</v>
      </c>
      <c r="F5" s="5" t="s">
        <v>16</v>
      </c>
      <c r="G5" s="5">
        <v>0.13961</v>
      </c>
      <c r="H5" s="5">
        <v>4034.34</v>
      </c>
      <c r="I5" s="5">
        <f t="shared" si="2"/>
        <v>563.2342074</v>
      </c>
      <c r="J5" s="5" t="s">
        <v>16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3"/>
      <c r="B6" s="3"/>
      <c r="C6" s="3"/>
      <c r="D6" s="3"/>
      <c r="E6" s="3"/>
      <c r="F6" s="5"/>
      <c r="G6" s="5">
        <v>0.14</v>
      </c>
      <c r="H6" s="5">
        <v>4120.0</v>
      </c>
      <c r="I6" s="5">
        <f t="shared" si="2"/>
        <v>576.8</v>
      </c>
      <c r="J6" s="5" t="s">
        <v>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5" t="s">
        <v>14</v>
      </c>
      <c r="B8" s="5" t="s">
        <v>18</v>
      </c>
      <c r="C8" s="5">
        <v>300.0</v>
      </c>
      <c r="D8" s="5">
        <v>2.777</v>
      </c>
      <c r="E8" s="5">
        <f t="shared" ref="E8:E11" si="3">ROUND(C8/D8,8)</f>
        <v>108.0302485</v>
      </c>
      <c r="F8" s="5" t="s">
        <v>16</v>
      </c>
      <c r="G8" s="5">
        <v>200.0</v>
      </c>
      <c r="H8" s="5">
        <v>2.0</v>
      </c>
      <c r="I8" s="5">
        <f t="shared" ref="I8:I11" si="4">G8*H8</f>
        <v>400</v>
      </c>
      <c r="J8" s="5" t="s">
        <v>17</v>
      </c>
      <c r="K8" s="3">
        <f>-SUM(C8:C11)+SUM(I8:I11)</f>
        <v>1105</v>
      </c>
      <c r="L8" s="3">
        <f>SUMIF(F8:F11,"done",C8:C11)/SUMIF(F8:F11,"done",E8:E11)</f>
        <v>1.862754527</v>
      </c>
      <c r="M8" s="3">
        <f>SUMIF(F8:F11, "done", C8:C11)</f>
        <v>1850</v>
      </c>
      <c r="N8" s="3">
        <f>ROUND(SUMIF(Currencies!A:A,B8,Currencies!D:D)/SUMIF(Currencies!A:A,A8,Currencies!D:D),8)</f>
        <v>1.95</v>
      </c>
      <c r="O8" s="3">
        <f>-SUMIF(J8:J11,"done",G8:G11)+SUMIF(F8:F11,"done",E8:E11)</f>
        <v>993.1528673</v>
      </c>
      <c r="P8" s="3">
        <f>O8*N8</f>
        <v>1936.648091</v>
      </c>
      <c r="Q8" s="3">
        <f>-SUMIF(F8:F11,"done",C8:C11)+SUMIF(J8:J11,"done",I8:I11)+P8</f>
        <v>86.64809118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3"/>
      <c r="B9" s="3"/>
      <c r="C9" s="5">
        <v>300.0</v>
      </c>
      <c r="D9" s="5">
        <v>2.2</v>
      </c>
      <c r="E9" s="5">
        <f t="shared" si="3"/>
        <v>136.3636364</v>
      </c>
      <c r="F9" s="5" t="s">
        <v>16</v>
      </c>
      <c r="G9" s="5">
        <v>250.0</v>
      </c>
      <c r="H9" s="5">
        <v>2.5</v>
      </c>
      <c r="I9" s="5">
        <f t="shared" si="4"/>
        <v>625</v>
      </c>
      <c r="J9" s="5" t="s">
        <v>17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3"/>
      <c r="B10" s="3"/>
      <c r="C10" s="5">
        <v>600.0</v>
      </c>
      <c r="D10" s="5">
        <v>1.88</v>
      </c>
      <c r="E10" s="5">
        <f t="shared" si="3"/>
        <v>319.1489362</v>
      </c>
      <c r="F10" s="5" t="s">
        <v>16</v>
      </c>
      <c r="G10" s="5">
        <v>300.0</v>
      </c>
      <c r="H10" s="5">
        <v>3.1</v>
      </c>
      <c r="I10" s="5">
        <f t="shared" si="4"/>
        <v>930</v>
      </c>
      <c r="J10" s="5" t="s">
        <v>17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3"/>
      <c r="B11" s="3"/>
      <c r="C11" s="5">
        <v>650.0</v>
      </c>
      <c r="D11" s="5">
        <v>1.513</v>
      </c>
      <c r="E11" s="5">
        <f t="shared" si="3"/>
        <v>429.6100463</v>
      </c>
      <c r="F11" s="5" t="s">
        <v>16</v>
      </c>
      <c r="G11" s="5">
        <v>250.0</v>
      </c>
      <c r="H11" s="5">
        <v>4.0</v>
      </c>
      <c r="I11" s="5">
        <f t="shared" si="4"/>
        <v>1000</v>
      </c>
      <c r="J11" s="5" t="s">
        <v>17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</sheetData>
  <mergeCells count="3">
    <mergeCell ref="A1:B1"/>
    <mergeCell ref="C1:E1"/>
    <mergeCell ref="G1:I1"/>
  </mergeCells>
  <dataValidations>
    <dataValidation type="list" allowBlank="1" showErrorMessage="1" sqref="F3:F6 J3:J6 F8:F11 J8:J11">
      <formula1>"done,plan"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3.13"/>
    <col customWidth="1" min="8" max="8" width="14.5"/>
    <col customWidth="1" min="9" max="11" width="13.13"/>
    <col customWidth="1" min="12" max="12" width="13.75"/>
    <col customWidth="1" min="13" max="13" width="15.5"/>
    <col customWidth="1" min="14" max="14" width="14.0"/>
    <col customWidth="1" min="15" max="25" width="13.13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>
        <v>45704.0</v>
      </c>
      <c r="B2" s="5" t="s">
        <v>14</v>
      </c>
      <c r="C2" s="5" t="s">
        <v>15</v>
      </c>
      <c r="D2" s="5">
        <v>231.65</v>
      </c>
      <c r="E2" s="5">
        <v>3.5</v>
      </c>
      <c r="F2" s="5">
        <v>0.3</v>
      </c>
      <c r="G2" s="5">
        <v>2695.95</v>
      </c>
      <c r="H2" s="3"/>
      <c r="I2" s="3">
        <f t="shared" ref="I2:I5" si="1">ROUND($D2*$E2/$F2, 8)</f>
        <v>2702.583333</v>
      </c>
      <c r="J2" s="3">
        <f>SUMIF(Currencies!$A:$A,$B2,Currencies!$D:$D)</f>
        <v>1</v>
      </c>
      <c r="K2" s="3">
        <f>SUMIF(Currencies!$A:$A,$C2,Currencies!$D:$D)</f>
        <v>2038.56</v>
      </c>
      <c r="L2" s="3">
        <f t="shared" ref="L2:L10" si="2">ROUND($K2/$J2,8)</f>
        <v>2038.56</v>
      </c>
      <c r="M2" s="3">
        <f t="shared" ref="M2:M10" si="3">IF($O2="Avg", 0, IF($O2="Liquidated", -D2, $F2*$L2-$D2*$E2))</f>
        <v>-231.65</v>
      </c>
      <c r="N2" s="3">
        <f t="shared" ref="N2:N10" si="4">M2*J2</f>
        <v>-231.65</v>
      </c>
      <c r="O2" s="5" t="s">
        <v>34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>
        <v>45736.0</v>
      </c>
      <c r="B3" s="5" t="s">
        <v>14</v>
      </c>
      <c r="C3" s="5" t="s">
        <v>15</v>
      </c>
      <c r="D3" s="5">
        <v>235.0</v>
      </c>
      <c r="E3" s="5">
        <v>1.0</v>
      </c>
      <c r="F3" s="7">
        <v>0.1145135</v>
      </c>
      <c r="G3" s="5">
        <v>2046.54</v>
      </c>
      <c r="H3" s="5"/>
      <c r="I3" s="3">
        <f t="shared" si="1"/>
        <v>2052.159789</v>
      </c>
      <c r="J3" s="3">
        <f>SUMIF(Currencies!$A:$A,$B3,Currencies!$D:$D)</f>
        <v>1</v>
      </c>
      <c r="K3" s="3">
        <f>SUMIF(Currencies!$A:$A,$C3,Currencies!$D:$D)</f>
        <v>2038.56</v>
      </c>
      <c r="L3" s="3">
        <f t="shared" si="2"/>
        <v>2038.56</v>
      </c>
      <c r="M3" s="3">
        <f t="shared" si="3"/>
        <v>-1.55735944</v>
      </c>
      <c r="N3" s="3">
        <f t="shared" si="4"/>
        <v>-1.55735944</v>
      </c>
      <c r="O3" s="5" t="s">
        <v>35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>
        <v>45750.0</v>
      </c>
      <c r="B4" s="5" t="s">
        <v>14</v>
      </c>
      <c r="C4" s="5" t="s">
        <v>15</v>
      </c>
      <c r="D4" s="5">
        <v>235.0</v>
      </c>
      <c r="E4" s="5">
        <v>1.0</v>
      </c>
      <c r="F4" s="5">
        <v>0.13083</v>
      </c>
      <c r="G4" s="5">
        <v>1796.09</v>
      </c>
      <c r="H4" s="3"/>
      <c r="I4" s="3">
        <f t="shared" si="1"/>
        <v>1796.224108</v>
      </c>
      <c r="J4" s="3">
        <f>SUMIF(Currencies!$A:$A,$B4,Currencies!$D:$D)</f>
        <v>1</v>
      </c>
      <c r="K4" s="3">
        <f>SUMIF(Currencies!$A:$A,$C4,Currencies!$D:$D)</f>
        <v>2038.56</v>
      </c>
      <c r="L4" s="3">
        <f t="shared" si="2"/>
        <v>2038.56</v>
      </c>
      <c r="M4" s="3">
        <f t="shared" si="3"/>
        <v>31.7048048</v>
      </c>
      <c r="N4" s="3">
        <f t="shared" si="4"/>
        <v>31.7048048</v>
      </c>
      <c r="O4" s="5" t="s">
        <v>35</v>
      </c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>
        <v>45754.0</v>
      </c>
      <c r="B5" s="5" t="s">
        <v>14</v>
      </c>
      <c r="C5" s="5" t="s">
        <v>15</v>
      </c>
      <c r="D5" s="5">
        <v>470.0</v>
      </c>
      <c r="E5" s="5">
        <v>1.0</v>
      </c>
      <c r="F5" s="5">
        <v>0.31114</v>
      </c>
      <c r="G5" s="5">
        <v>1510.57</v>
      </c>
      <c r="H5" s="3"/>
      <c r="I5" s="3">
        <f t="shared" si="1"/>
        <v>1510.574018</v>
      </c>
      <c r="J5" s="3">
        <f>SUMIF(Currencies!$A:$A,$B5,Currencies!$D:$D)</f>
        <v>1</v>
      </c>
      <c r="K5" s="3">
        <f>SUMIF(Currencies!$A:$A,$C5,Currencies!$D:$D)</f>
        <v>2038.56</v>
      </c>
      <c r="L5" s="3">
        <f t="shared" si="2"/>
        <v>2038.56</v>
      </c>
      <c r="M5" s="3">
        <f t="shared" si="3"/>
        <v>164.2775584</v>
      </c>
      <c r="N5" s="3">
        <f t="shared" si="4"/>
        <v>164.2775584</v>
      </c>
      <c r="O5" s="5" t="s">
        <v>35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>
        <v>45855.0</v>
      </c>
      <c r="B6" s="5" t="s">
        <v>15</v>
      </c>
      <c r="C6" s="5" t="s">
        <v>14</v>
      </c>
      <c r="D6" s="5">
        <v>0.13892</v>
      </c>
      <c r="E6" s="5">
        <v>1.0</v>
      </c>
      <c r="F6" s="5">
        <v>467.5435952</v>
      </c>
      <c r="G6" s="5">
        <v>3365.56</v>
      </c>
      <c r="H6" s="3"/>
      <c r="I6" s="3">
        <f t="shared" ref="I6:I8" si="5">ROUND($F6/($D6*$E6), 8)</f>
        <v>3365.56</v>
      </c>
      <c r="J6" s="3">
        <f>SUMIF(Currencies!$A:$A,$B6,Currencies!$D:$D)</f>
        <v>2038.56</v>
      </c>
      <c r="K6" s="3">
        <f>SUMIF(Currencies!$A:$A,$C6,Currencies!$D:$D)</f>
        <v>1</v>
      </c>
      <c r="L6" s="3">
        <f t="shared" si="2"/>
        <v>0.00049054</v>
      </c>
      <c r="M6" s="3">
        <f t="shared" si="3"/>
        <v>0.09042883519</v>
      </c>
      <c r="N6" s="3">
        <f t="shared" si="4"/>
        <v>184.3446063</v>
      </c>
      <c r="O6" s="5" t="s">
        <v>35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>
        <v>45877.0</v>
      </c>
      <c r="B7" s="5" t="s">
        <v>15</v>
      </c>
      <c r="C7" s="5" t="s">
        <v>14</v>
      </c>
      <c r="D7" s="5">
        <v>0.13753</v>
      </c>
      <c r="E7" s="5">
        <v>1.0</v>
      </c>
      <c r="F7" s="5">
        <v>532.6000533</v>
      </c>
      <c r="G7" s="5">
        <v>3872.61</v>
      </c>
      <c r="H7" s="3"/>
      <c r="I7" s="3">
        <f t="shared" si="5"/>
        <v>3872.61</v>
      </c>
      <c r="J7" s="3">
        <f>SUMIF(Currencies!$A:$A,$B7,Currencies!$D:$D)</f>
        <v>2038.56</v>
      </c>
      <c r="K7" s="3">
        <f>SUMIF(Currencies!$A:$A,$C7,Currencies!$D:$D)</f>
        <v>1</v>
      </c>
      <c r="L7" s="3">
        <f t="shared" si="2"/>
        <v>0.00049054</v>
      </c>
      <c r="M7" s="3">
        <f t="shared" si="3"/>
        <v>0.1237316301</v>
      </c>
      <c r="N7" s="3">
        <f t="shared" si="4"/>
        <v>252.2343519</v>
      </c>
      <c r="O7" s="5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>
        <v>45878.0</v>
      </c>
      <c r="B8" s="5" t="s">
        <v>15</v>
      </c>
      <c r="C8" s="5" t="s">
        <v>14</v>
      </c>
      <c r="D8" s="5">
        <v>0.13961</v>
      </c>
      <c r="E8" s="5">
        <v>1.0</v>
      </c>
      <c r="F8" s="5">
        <v>563.19</v>
      </c>
      <c r="G8" s="5">
        <v>4034.34</v>
      </c>
      <c r="H8" s="3"/>
      <c r="I8" s="3">
        <f t="shared" si="5"/>
        <v>4034.023351</v>
      </c>
      <c r="J8" s="3">
        <f>SUMIF(Currencies!$A:$A,$B8,Currencies!$D:$D)</f>
        <v>2038.56</v>
      </c>
      <c r="K8" s="3">
        <f>SUMIF(Currencies!$A:$A,$C8,Currencies!$D:$D)</f>
        <v>1</v>
      </c>
      <c r="L8" s="3">
        <f t="shared" si="2"/>
        <v>0.00049054</v>
      </c>
      <c r="M8" s="3">
        <f t="shared" si="3"/>
        <v>0.1366572226</v>
      </c>
      <c r="N8" s="3">
        <f t="shared" si="4"/>
        <v>278.5839477</v>
      </c>
      <c r="O8" s="5" t="s">
        <v>35</v>
      </c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>
        <v>45939.0</v>
      </c>
      <c r="B9" s="5" t="s">
        <v>14</v>
      </c>
      <c r="C9" s="5" t="s">
        <v>18</v>
      </c>
      <c r="D9" s="5">
        <v>300.0</v>
      </c>
      <c r="E9" s="5">
        <v>1.0</v>
      </c>
      <c r="F9" s="3">
        <f>71.88+36.15</f>
        <v>108.03</v>
      </c>
      <c r="G9" s="5">
        <v>2.777</v>
      </c>
      <c r="H9" s="3"/>
      <c r="I9" s="3">
        <f t="shared" ref="I9:I10" si="6">ROUND($D9*$E9/$F9, 8)</f>
        <v>2.77700639</v>
      </c>
      <c r="J9" s="3">
        <f>SUMIF(Currencies!$A:$A,$B9,Currencies!$D:$D)</f>
        <v>1</v>
      </c>
      <c r="K9" s="3">
        <f>SUMIF(Currencies!$A:$A,$C9,Currencies!$D:$D)</f>
        <v>1.95</v>
      </c>
      <c r="L9" s="3">
        <f t="shared" si="2"/>
        <v>1.95</v>
      </c>
      <c r="M9" s="3">
        <f t="shared" si="3"/>
        <v>-89.3415</v>
      </c>
      <c r="N9" s="3">
        <f t="shared" si="4"/>
        <v>-89.3415</v>
      </c>
      <c r="O9" s="5" t="s">
        <v>35</v>
      </c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>
        <v>45970.0</v>
      </c>
      <c r="B10" s="5" t="s">
        <v>14</v>
      </c>
      <c r="C10" s="5" t="s">
        <v>18</v>
      </c>
      <c r="D10" s="5">
        <v>300.0</v>
      </c>
      <c r="E10" s="5">
        <v>1.0</v>
      </c>
      <c r="F10" s="5">
        <v>136.36</v>
      </c>
      <c r="G10" s="5">
        <v>2.2</v>
      </c>
      <c r="H10" s="3"/>
      <c r="I10" s="3">
        <f t="shared" si="6"/>
        <v>2.20005867</v>
      </c>
      <c r="J10" s="3">
        <f>SUMIF(Currencies!$A:$A,$B10,Currencies!$D:$D)</f>
        <v>1</v>
      </c>
      <c r="K10" s="3">
        <f>SUMIF(Currencies!$A:$A,$C10,Currencies!$D:$D)</f>
        <v>1.95</v>
      </c>
      <c r="L10" s="3">
        <f t="shared" si="2"/>
        <v>1.95</v>
      </c>
      <c r="M10" s="3">
        <f t="shared" si="3"/>
        <v>-34.098</v>
      </c>
      <c r="N10" s="3">
        <f t="shared" si="4"/>
        <v>-34.098</v>
      </c>
      <c r="O10" s="5" t="s">
        <v>35</v>
      </c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f>SUM(N2:N10)</f>
        <v>554.4984097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ataValidations>
    <dataValidation type="list" allowBlank="1" showErrorMessage="1" sqref="O2:O10">
      <formula1>"Opened,Closed,Liquidated"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36</v>
      </c>
      <c r="B1" s="9" t="s">
        <v>37</v>
      </c>
      <c r="C1" s="10" t="s">
        <v>38</v>
      </c>
      <c r="D1" s="10" t="s">
        <v>25</v>
      </c>
      <c r="E1" s="8"/>
      <c r="F1" s="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14</v>
      </c>
      <c r="B2" s="3"/>
      <c r="C2" s="11">
        <f>IFERROR(__xludf.DUMMYFUNCTION("ROUND(IMPORTDATA(CONCAT(""https://cryptoprices.cc/"", $A2)), 2)"),1.0)</f>
        <v>1</v>
      </c>
      <c r="D2" s="11">
        <f t="shared" ref="D2:D4" si="1">IF($B2=0,C2,B2)</f>
        <v>1</v>
      </c>
      <c r="E2" s="11"/>
      <c r="F2" s="1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 t="s">
        <v>15</v>
      </c>
      <c r="B3" s="12">
        <v>2038.56</v>
      </c>
      <c r="C3" s="11">
        <f>IFERROR(__xludf.DUMMYFUNCTION("ROUND(IMPORTDATA(CONCAT(""https://cryptoprices.cc/"", $A3)), 2)"),2110.04)</f>
        <v>2110.04</v>
      </c>
      <c r="D3" s="11">
        <f t="shared" si="1"/>
        <v>2038.56</v>
      </c>
      <c r="E3" s="11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18</v>
      </c>
      <c r="B4" s="11"/>
      <c r="C4" s="11">
        <f>IFERROR(__xludf.DUMMYFUNCTION("ROUND(IMPORTDATA(CONCAT(""https://cryptoprices.cc/"", $A4)), 2)"),1.95)</f>
        <v>1.95</v>
      </c>
      <c r="D4" s="11">
        <f t="shared" si="1"/>
        <v>1.95</v>
      </c>
      <c r="E4" s="11"/>
      <c r="F4" s="1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39</v>
      </c>
      <c r="B1" s="7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40</v>
      </c>
      <c r="B1" s="6">
        <v>45736.0</v>
      </c>
      <c r="C1" s="6">
        <v>45939.0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20</v>
      </c>
      <c r="B2" s="5" t="s">
        <v>14</v>
      </c>
      <c r="C2" s="5" t="s">
        <v>14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21</v>
      </c>
      <c r="B3" s="5" t="s">
        <v>15</v>
      </c>
      <c r="C3" s="5" t="s">
        <v>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41</v>
      </c>
      <c r="B4" s="5">
        <v>2046.54</v>
      </c>
      <c r="C4" s="5">
        <v>2.777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42</v>
      </c>
      <c r="B5" s="5">
        <v>235.0</v>
      </c>
      <c r="C5" s="5">
        <v>300.0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43</v>
      </c>
      <c r="B7" s="5">
        <v>1800.0</v>
      </c>
      <c r="C7" s="5">
        <v>2.2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44</v>
      </c>
      <c r="B8" s="5">
        <v>1.0</v>
      </c>
      <c r="C8" s="5">
        <v>1.0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45</v>
      </c>
      <c r="B9" s="5">
        <v>235.0</v>
      </c>
      <c r="C9" s="5">
        <v>300.0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46</v>
      </c>
      <c r="B10" s="5">
        <f t="shared" ref="B10:C10" si="1">B5*B8</f>
        <v>235</v>
      </c>
      <c r="C10" s="5">
        <f t="shared" si="1"/>
        <v>300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4" t="s">
        <v>47</v>
      </c>
      <c r="B11" s="15">
        <f t="shared" ref="B11:C11" si="2">B5+B10</f>
        <v>470</v>
      </c>
      <c r="C11" s="15">
        <f t="shared" si="2"/>
        <v>600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" t="s">
        <v>48</v>
      </c>
      <c r="B12" s="5">
        <v>1500.0</v>
      </c>
      <c r="C12" s="5">
        <v>2.0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49</v>
      </c>
      <c r="B13" s="5">
        <v>2.0</v>
      </c>
      <c r="C13" s="5">
        <v>2.0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50</v>
      </c>
      <c r="B14" s="5">
        <v>470.0</v>
      </c>
      <c r="C14" s="5">
        <v>600.0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51</v>
      </c>
      <c r="B15" s="5">
        <f t="shared" ref="B15:C15" si="3">B10*B13</f>
        <v>470</v>
      </c>
      <c r="C15" s="5">
        <f t="shared" si="3"/>
        <v>600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52</v>
      </c>
      <c r="B16" s="15">
        <f t="shared" ref="B16:C16" si="4">B11+B15</f>
        <v>940</v>
      </c>
      <c r="C16" s="15">
        <f t="shared" si="4"/>
        <v>1200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" t="s">
        <v>53</v>
      </c>
      <c r="B17" s="5">
        <v>1100.0</v>
      </c>
      <c r="C17" s="5">
        <v>1.5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54</v>
      </c>
      <c r="B18" s="5">
        <v>2.0</v>
      </c>
      <c r="C18" s="5">
        <v>2.0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55</v>
      </c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56</v>
      </c>
      <c r="B20" s="5">
        <f t="shared" ref="B20:C20" si="5">B15*B18</f>
        <v>940</v>
      </c>
      <c r="C20" s="5">
        <f t="shared" si="5"/>
        <v>1200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57</v>
      </c>
      <c r="B21" s="5">
        <f t="shared" ref="B21:C21" si="6">B16+B20</f>
        <v>1880</v>
      </c>
      <c r="C21" s="5">
        <f t="shared" si="6"/>
        <v>2400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 t="s">
        <v>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59</v>
      </c>
      <c r="B24" s="3">
        <f t="shared" ref="B24:C24" si="7">IF(B4,B5,0)+IF(B7,B9,0)+IF(B12,B14,0)+IF(B17,B19,0)</f>
        <v>940</v>
      </c>
      <c r="C24" s="3">
        <f t="shared" si="7"/>
        <v>1200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60</v>
      </c>
      <c r="B25" s="3">
        <f t="shared" ref="B25:C25" si="8">IF(B$4,B$5/B$4,0)+IF(B$7,B$9/B$7,0)+IF(B$12,B$14/B$12,0)+IF(B$17,B$19/B$17,0)</f>
        <v>0.5587168424</v>
      </c>
      <c r="C25" s="3">
        <f t="shared" si="8"/>
        <v>544.3938848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61</v>
      </c>
      <c r="B26" s="3">
        <f t="shared" ref="B26:C26" si="9">B24/B25</f>
        <v>1682.426461</v>
      </c>
      <c r="C26" s="3">
        <f t="shared" si="9"/>
        <v>2.204286333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 t="s">
        <v>62</v>
      </c>
      <c r="B27" s="5">
        <v>3365.0</v>
      </c>
      <c r="C27" s="5">
        <v>3.2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 t="s">
        <v>63</v>
      </c>
      <c r="B28" s="5">
        <v>3872.0</v>
      </c>
      <c r="C28" s="5">
        <v>3.5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64</v>
      </c>
      <c r="B29" s="5">
        <v>4034.34</v>
      </c>
      <c r="C29" s="5">
        <v>3.7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 t="s">
        <v>65</v>
      </c>
      <c r="B30" s="5">
        <v>4500.0</v>
      </c>
      <c r="C30" s="5">
        <v>4.0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66</v>
      </c>
      <c r="B31" s="3">
        <f t="shared" ref="B31:C31" si="10">B25*(B27/4+B28/4+B29/4+B30/4)-B24</f>
        <v>1262.928321</v>
      </c>
      <c r="C31" s="3">
        <f t="shared" si="10"/>
        <v>759.8179854</v>
      </c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</sheetData>
  <mergeCells count="1">
    <mergeCell ref="A22:C22"/>
  </mergeCells>
  <drawing r:id="rId1"/>
</worksheet>
</file>